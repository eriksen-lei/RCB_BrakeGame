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85"/>
  </bookViews>
  <sheets>
    <sheet name="预算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<sst xmlns="http://schemas.openxmlformats.org/spreadsheetml/2006/main" count="120" uniqueCount="96">
  <si>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摩托车制动体感系统 · 完整预算清单（¥4,000）</t>
  </si>
  <si>
    <t>传感器方案：微型霍尔传感器安装于卡钳内（主）+ 液压压力传感器（备）</t>
  </si>
  <si>
    <t>一、硬件物料</t>
  </si>
  <si>
    <t>零件</t>
  </si>
  <si>
    <t>规格/型号</t>
  </si>
  <si>
    <t>数量</t>
  </si>
  <si>
    <t>单价</t>
  </si>
  <si>
    <t>小计</t>
  </si>
  <si>
    <t>线性霍尔传感器</t>
  </si>
  <si>
    <t>AH3505/SS495A，固定于卡钳内测量活塞推出距离，1主4备</t>
  </si>
  <si>
    <t>钕磁铁 N52薄片</t>
  </si>
  <si>
    <t>8×3×2mm，粘贴于卡钳活塞端面，随活塞移动</t>
  </si>
  <si>
    <t>液压压力传感器</t>
  </si>
  <si>
    <t>0–1MPa，G1/8，0–5V，备用方案</t>
  </si>
  <si>
    <t>T型三通接头</t>
  </si>
  <si>
    <t>G1/8，不锈钢，备用方案油路接入</t>
  </si>
  <si>
    <t>传感器防护套</t>
  </si>
  <si>
    <t>硅胶防油污套，卡钳内环境保护</t>
  </si>
  <si>
    <t>Arduino Pro Micro</t>
  </si>
  <si>
    <t>5V/16MHz 兼容版，1主1备</t>
  </si>
  <si>
    <t>PCB打板</t>
  </si>
  <si>
    <t>信号调理+运放放大+滤波+供电整合，嘉立创5片</t>
  </si>
  <si>
    <t>3D打印支架</t>
  </si>
  <si>
    <t>PETG耐油耐热，卡钳内传感器固定座，4次迭代</t>
  </si>
  <si>
    <t>防水接线端子</t>
  </si>
  <si>
    <t>IP67，适配卡钳附近潮湿/油污环境</t>
  </si>
  <si>
    <t>屏蔽信号线</t>
  </si>
  <si>
    <t>双绞屏蔽线，抗刹车系统电磁干扰</t>
  </si>
  <si>
    <t>USB数据线</t>
  </si>
  <si>
    <t>Type-C，1.5m</t>
  </si>
  <si>
    <t>杜邦线+面包板套装</t>
  </si>
  <si>
    <t>原型调试用</t>
  </si>
  <si>
    <t>扎带+螺丝+热缩管</t>
  </si>
  <si>
    <t>安装固定耗材包</t>
  </si>
  <si>
    <t>电子散件包</t>
  </si>
  <si>
    <t>电阻/电容/LDO稳压/运放IC，信号调理用</t>
  </si>
  <si>
    <t>环氧树脂胶（AB胶）</t>
  </si>
  <si>
    <t>传感器+磁铁卡钳内永久固定</t>
  </si>
  <si>
    <t>耐油密封胶</t>
  </si>
  <si>
    <t>卡钳开孔走线密封用</t>
  </si>
  <si>
    <t>仪器</t>
  </si>
  <si>
    <t>电路测试，分析工具</t>
  </si>
  <si>
    <t>硬件合计</t>
  </si>
  <si>
    <t>二、人工与服务费</t>
  </si>
  <si>
    <t>项目</t>
  </si>
  <si>
    <t>工作内容</t>
  </si>
  <si>
    <t>工时</t>
  </si>
  <si>
    <t>金额</t>
  </si>
  <si>
    <t>硬件方案设计</t>
  </si>
  <si>
    <t>卡钳内布局分析、磁路间距计算、方案文档</t>
  </si>
  <si>
    <t>1天</t>
  </si>
  <si>
    <t/>
  </si>
  <si>
    <t>PCB设计</t>
  </si>
  <si>
    <t>原理图+运放放大电路+Layout+嘉立创下单全流程</t>
  </si>
  <si>
    <t>3D支架建模</t>
  </si>
  <si>
    <t>卡钳内腔尺寸测绘+固定座建模+4次迭代沟通</t>
  </si>
  <si>
    <t>1.5天</t>
  </si>
  <si>
    <t>硬件装配调试</t>
  </si>
  <si>
    <t>传感器卡钳内安装、磁铁定位、防水接线验证</t>
  </si>
  <si>
    <t>信号校准</t>
  </si>
  <si>
    <t>霍尔线性区标定、运放增益调整、ADC映射</t>
  </si>
  <si>
    <t>0.5天</t>
  </si>
  <si>
    <t>Arduino固件开发</t>
  </si>
  <si>
    <t>采样/滑动滤波/USB HID游戏手柄模拟</t>
  </si>
  <si>
    <t>Python通信模块</t>
  </si>
  <si>
    <t>HID读取、实时数据流处理</t>
  </si>
  <si>
    <t>游戏逻辑开发</t>
  </si>
  <si>
    <t>状态机、反应时间计算、评分算法</t>
  </si>
  <si>
    <t>UI界面开发</t>
  </si>
  <si>
    <t>力度条、倒计时动画、结果页、排行榜</t>
  </si>
  <si>
    <t>数据存储与导出</t>
  </si>
  <si>
    <t>JSON本地排行榜、CSV数据导出</t>
  </si>
  <si>
    <t>软硬件联调</t>
  </si>
  <si>
    <t>全链路联调、体验优化、延迟测试</t>
  </si>
  <si>
    <t>项目管理+交付文档</t>
  </si>
  <si>
    <t>需求沟通、安装手册、验收报告</t>
  </si>
  <si>
    <t>全程</t>
  </si>
  <si>
    <t>人工合计</t>
  </si>
  <si>
    <t>三、风险预留</t>
  </si>
  <si>
    <t>说明</t>
  </si>
  <si>
    <t>硬件返工预留</t>
  </si>
  <si>
    <t>PCB二次打样或磁路重新设计</t>
  </si>
  <si>
    <t>支架超额迭代</t>
  </si>
  <si>
    <t>卡钳内腔尺寸差异导致的额外打印</t>
  </si>
  <si>
    <t>密封/防油返工</t>
  </si>
  <si>
    <t>卡钳环境恶劣，走线密封可能需重做</t>
  </si>
  <si>
    <t>现场支持/展会部署</t>
  </si>
  <si>
    <t>活动现场调试支援（半天）</t>
  </si>
  <si>
    <t>预留合计</t>
  </si>
  <si>
    <t>总计</t>
  </si>
  <si>
    <t>备注：</t>
  </si>
  <si>
    <t>1. 传感器安装于卡钳内部，霍尔传感器固定于卡钳活塞侧壁，磁铁粘贴于活塞端面，刹车时活塞推出，磁场变化映射为制动位移量。</t>
  </si>
  <si>
    <t>2. 卡钳内环境恶劣（制动液/高温/震动），新增防水接线端子（IP67）、屏蔽信号线、耐油密封胶、防护硅胶套。</t>
  </si>
  <si>
    <t>3. PCB升级加入运放放大电路：卡钳内活塞行程小，霍尔信号幅度偏弱，需放大处理后送ADC。</t>
  </si>
  <si>
    <t>4. 3D打印改用PETG材质（耐油耐热），迭代4次，卡钳内腔公差紧，首版难以直接装配。</t>
  </si>
  <si>
    <t>5. Arduino Pro Micro 原生USB HID，直接模拟游戏手柄，省去串口驱动安装问题。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</si>
</sst>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sz val="10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3"/>
      <color rgb="FF1F1F1F"/>
      <name val="微软雅黑"/>
      <charset val="134"/>
    </font>
    <font>
      <b/>
      <sz val="13"/>
      <name val="微软雅黑"/>
      <charset val="134"/>
    </font>
    <font>
      <b/>
      <sz val="9"/>
      <color rgb="FF444444"/>
      <name val="微软雅黑"/>
      <charset val="134"/>
    </font>
    <font>
      <sz val="9"/>
      <color rgb="FF44444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/>
    <xf numFmtId="0" fontId="7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/>
    </xf>
    <xf numFmtId="0" fontId="10" fillId="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39" workbookViewId="0">
      <selection activeCell="E21" sqref="A21:E21"/>
    </sheetView>
  </sheetViews>
  <sheetFormatPr defaultColWidth="9" defaultRowHeight="13.5" outlineLevelCol="4"/>
  <cols>
    <col min="1" max="1" width="28" customWidth="1"/>
    <col min="2" max="2" width="38" customWidth="1"/>
    <col min="3" max="5" width="8" customWidth="1"/>
  </cols>
  <sheetData>
    <row r="1" ht="36" customHeight="1" spans="1:5">
      <c r="A1" s="1" t="s">
        <v>0</v>
      </c>
    </row>
    <row r="2" ht="20" customHeight="1" spans="1:5">
      <c r="A2" s="2" t="s">
        <v>1</v>
      </c>
    </row>
    <row r="3" ht="22" customHeight="1" spans="1:5">
      <c r="A3" s="3" t="s">
        <v>2</v>
      </c>
    </row>
    <row r="4" ht="18" customHeight="1" spans="1:5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</row>
    <row r="5" ht="16" customHeight="1" spans="1:5">
      <c r="A5" s="6" t="s">
        <v>8</v>
      </c>
      <c r="B5" s="6" t="s">
        <v>9</v>
      </c>
      <c r="C5" s="7">
        <v>5</v>
      </c>
      <c r="D5" s="7">
        <v>50</v>
      </c>
      <c r="E5" s="7">
        <f>C5*D5</f>
        <v>250</v>
      </c>
    </row>
    <row r="6" ht="16" customHeight="1" spans="1:5">
      <c r="A6" s="6" t="s">
        <v>10</v>
      </c>
      <c r="B6" s="6" t="s">
        <v>11</v>
      </c>
      <c r="C6" s="7">
        <v>20</v>
      </c>
      <c r="D6" s="7">
        <v>2</v>
      </c>
      <c r="E6" s="7">
        <f t="shared" ref="E6:E20" si="0">C6*D6</f>
        <v>40</v>
      </c>
    </row>
    <row r="7" ht="16" customHeight="1" spans="1:5">
      <c r="A7" s="6" t="s">
        <v>12</v>
      </c>
      <c r="B7" s="6" t="s">
        <v>13</v>
      </c>
      <c r="C7" s="7">
        <v>1</v>
      </c>
      <c r="D7" s="7">
        <v>60</v>
      </c>
      <c r="E7" s="7">
        <f t="shared" si="0"/>
        <v>60</v>
      </c>
    </row>
    <row r="8" ht="16" customHeight="1" spans="1:5">
      <c r="A8" s="6" t="s">
        <v>14</v>
      </c>
      <c r="B8" s="6" t="s">
        <v>15</v>
      </c>
      <c r="C8" s="7">
        <v>2</v>
      </c>
      <c r="D8" s="7">
        <v>20</v>
      </c>
      <c r="E8" s="7">
        <f t="shared" si="0"/>
        <v>40</v>
      </c>
    </row>
    <row r="9" ht="16" customHeight="1" spans="1:5">
      <c r="A9" s="6" t="s">
        <v>16</v>
      </c>
      <c r="B9" s="6" t="s">
        <v>17</v>
      </c>
      <c r="C9" s="7">
        <v>5</v>
      </c>
      <c r="D9" s="7">
        <v>8</v>
      </c>
      <c r="E9" s="7">
        <f t="shared" si="0"/>
        <v>40</v>
      </c>
    </row>
    <row r="10" ht="16" customHeight="1" spans="1:5">
      <c r="A10" s="6" t="s">
        <v>18</v>
      </c>
      <c r="B10" s="6" t="s">
        <v>19</v>
      </c>
      <c r="C10" s="7">
        <v>2</v>
      </c>
      <c r="D10" s="7">
        <v>135</v>
      </c>
      <c r="E10" s="7">
        <f t="shared" si="0"/>
        <v>270</v>
      </c>
    </row>
    <row r="11" ht="16" customHeight="1" spans="1:5">
      <c r="A11" s="6" t="s">
        <v>20</v>
      </c>
      <c r="B11" s="6" t="s">
        <v>21</v>
      </c>
      <c r="C11" s="7">
        <v>1</v>
      </c>
      <c r="D11" s="7">
        <v>120</v>
      </c>
      <c r="E11" s="7">
        <f t="shared" si="0"/>
        <v>120</v>
      </c>
    </row>
    <row r="12" ht="16" customHeight="1" spans="1:5">
      <c r="A12" s="6" t="s">
        <v>22</v>
      </c>
      <c r="B12" s="6" t="s">
        <v>23</v>
      </c>
      <c r="C12" s="7">
        <v>4</v>
      </c>
      <c r="D12" s="7">
        <v>55</v>
      </c>
      <c r="E12" s="7">
        <f t="shared" si="0"/>
        <v>220</v>
      </c>
    </row>
    <row r="13" ht="16" customHeight="1" spans="1:5">
      <c r="A13" s="6" t="s">
        <v>24</v>
      </c>
      <c r="B13" s="6" t="s">
        <v>25</v>
      </c>
      <c r="C13" s="7">
        <v>1</v>
      </c>
      <c r="D13" s="7">
        <v>25</v>
      </c>
      <c r="E13" s="7">
        <f t="shared" si="0"/>
        <v>25</v>
      </c>
    </row>
    <row r="14" ht="16" customHeight="1" spans="1:5">
      <c r="A14" s="6" t="s">
        <v>26</v>
      </c>
      <c r="B14" s="6" t="s">
        <v>27</v>
      </c>
      <c r="C14" s="7">
        <v>3</v>
      </c>
      <c r="D14" s="7">
        <v>10</v>
      </c>
      <c r="E14" s="7">
        <f t="shared" si="0"/>
        <v>30</v>
      </c>
    </row>
    <row r="15" ht="16" customHeight="1" spans="1:5">
      <c r="A15" s="6" t="s">
        <v>28</v>
      </c>
      <c r="B15" s="6" t="s">
        <v>29</v>
      </c>
      <c r="C15" s="7">
        <v>2</v>
      </c>
      <c r="D15" s="7">
        <v>10</v>
      </c>
      <c r="E15" s="7">
        <f t="shared" si="0"/>
        <v>20</v>
      </c>
    </row>
    <row r="16" ht="16" customHeight="1" spans="1:5">
      <c r="A16" s="6" t="s">
        <v>30</v>
      </c>
      <c r="B16" s="6" t="s">
        <v>31</v>
      </c>
      <c r="C16" s="7">
        <v>1</v>
      </c>
      <c r="D16" s="7">
        <v>20</v>
      </c>
      <c r="E16" s="7">
        <f t="shared" si="0"/>
        <v>20</v>
      </c>
    </row>
    <row r="17" ht="16" customHeight="1" spans="1:5">
      <c r="A17" s="6" t="s">
        <v>32</v>
      </c>
      <c r="B17" s="6" t="s">
        <v>33</v>
      </c>
      <c r="C17" s="7">
        <v>1</v>
      </c>
      <c r="D17" s="7">
        <v>25</v>
      </c>
      <c r="E17" s="7">
        <f t="shared" si="0"/>
        <v>25</v>
      </c>
    </row>
    <row r="18" ht="16" customHeight="1" spans="1:5">
      <c r="A18" s="6" t="s">
        <v>34</v>
      </c>
      <c r="B18" s="6" t="s">
        <v>35</v>
      </c>
      <c r="C18" s="7">
        <v>1</v>
      </c>
      <c r="D18" s="7">
        <v>40</v>
      </c>
      <c r="E18" s="7">
        <f t="shared" si="0"/>
        <v>40</v>
      </c>
    </row>
    <row r="19" ht="16" customHeight="1" spans="1:5">
      <c r="A19" s="6" t="s">
        <v>36</v>
      </c>
      <c r="B19" s="6" t="s">
        <v>37</v>
      </c>
      <c r="C19" s="7">
        <v>2</v>
      </c>
      <c r="D19" s="7">
        <v>8</v>
      </c>
      <c r="E19" s="7">
        <f t="shared" si="0"/>
        <v>16</v>
      </c>
    </row>
    <row r="20" ht="16" customHeight="1" spans="1:5">
      <c r="A20" s="6" t="s">
        <v>38</v>
      </c>
      <c r="B20" s="6" t="s">
        <v>39</v>
      </c>
      <c r="C20" s="7">
        <v>1</v>
      </c>
      <c r="D20" s="7">
        <v>19</v>
      </c>
      <c r="E20" s="7">
        <f t="shared" si="0"/>
        <v>19</v>
      </c>
    </row>
    <row r="21" ht="18" customHeight="1" spans="1:5">
      <c r="A21" s="8" t="s">
        <v>40</v>
      </c>
      <c r="B21" s="9" t="s">
        <v>41</v>
      </c>
      <c r="C21">
        <v>1</v>
      </c>
      <c r="D21">
        <v>1200</v>
      </c>
      <c r="E21" s="10">
        <f>D21*C21</f>
        <v>1200</v>
      </c>
    </row>
    <row r="22" ht="18" customHeight="1" spans="1:5">
      <c r="A22" s="11" t="s">
        <v>42</v>
      </c>
      <c r="E22" s="10">
        <f>SUM(E5:E21)</f>
        <v>2435</v>
      </c>
    </row>
    <row r="23" ht="22" customHeight="1" spans="1:5">
      <c r="A23" s="3" t="s">
        <v>43</v>
      </c>
    </row>
    <row r="24" ht="15" spans="1:5">
      <c r="A24" s="4" t="s">
        <v>44</v>
      </c>
      <c r="B24" s="4" t="s">
        <v>45</v>
      </c>
      <c r="C24" s="5" t="s">
        <v>46</v>
      </c>
      <c r="D24" s="5" t="s">
        <v>6</v>
      </c>
      <c r="E24" s="5" t="s">
        <v>47</v>
      </c>
    </row>
    <row r="25" ht="16" customHeight="1" spans="1:5">
      <c r="A25" s="6" t="s">
        <v>48</v>
      </c>
      <c r="B25" s="6" t="s">
        <v>49</v>
      </c>
      <c r="C25" s="7" t="s">
        <v>50</v>
      </c>
      <c r="D25" s="7" t="s">
        <v>51</v>
      </c>
      <c r="E25" s="7">
        <v>350</v>
      </c>
    </row>
    <row r="26" ht="16" customHeight="1" spans="1:5">
      <c r="A26" s="6" t="s">
        <v>52</v>
      </c>
      <c r="B26" s="6" t="s">
        <v>53</v>
      </c>
      <c r="C26" s="7" t="s">
        <v>50</v>
      </c>
      <c r="D26" s="7" t="s">
        <v>51</v>
      </c>
      <c r="E26" s="7">
        <v>350</v>
      </c>
    </row>
    <row r="27" ht="16" customHeight="1" spans="1:5">
      <c r="A27" s="6" t="s">
        <v>54</v>
      </c>
      <c r="B27" s="6" t="s">
        <v>55</v>
      </c>
      <c r="C27" s="7" t="s">
        <v>56</v>
      </c>
      <c r="D27" s="7" t="s">
        <v>51</v>
      </c>
      <c r="E27" s="7">
        <v>350</v>
      </c>
    </row>
    <row r="28" ht="16" customHeight="1" spans="1:5">
      <c r="A28" s="6" t="s">
        <v>57</v>
      </c>
      <c r="B28" s="6" t="s">
        <v>58</v>
      </c>
      <c r="C28" s="7" t="s">
        <v>50</v>
      </c>
      <c r="D28" s="7" t="s">
        <v>51</v>
      </c>
      <c r="E28" s="7">
        <v>350</v>
      </c>
    </row>
    <row r="29" ht="16" customHeight="1" spans="1:5">
      <c r="A29" s="6" t="s">
        <v>59</v>
      </c>
      <c r="B29" s="6" t="s">
        <v>60</v>
      </c>
      <c r="C29" s="7" t="s">
        <v>61</v>
      </c>
      <c r="D29" s="7" t="s">
        <v>51</v>
      </c>
      <c r="E29" s="7">
        <v>180</v>
      </c>
    </row>
    <row r="30" ht="16" customHeight="1" spans="1:5">
      <c r="A30" s="6" t="s">
        <v>62</v>
      </c>
      <c r="B30" s="6" t="s">
        <v>63</v>
      </c>
      <c r="C30" s="7" t="s">
        <v>50</v>
      </c>
      <c r="D30" s="7" t="s">
        <v>51</v>
      </c>
      <c r="E30" s="7">
        <v>300</v>
      </c>
    </row>
    <row r="31" ht="16" customHeight="1" spans="1:5">
      <c r="A31" s="6" t="s">
        <v>64</v>
      </c>
      <c r="B31" s="6" t="s">
        <v>65</v>
      </c>
      <c r="C31" s="7" t="s">
        <v>61</v>
      </c>
      <c r="D31" s="7" t="s">
        <v>51</v>
      </c>
      <c r="E31" s="7">
        <v>150</v>
      </c>
    </row>
    <row r="32" ht="16" customHeight="1" spans="1:5">
      <c r="A32" s="6" t="s">
        <v>66</v>
      </c>
      <c r="B32" s="6" t="s">
        <v>67</v>
      </c>
      <c r="C32" s="7" t="s">
        <v>56</v>
      </c>
      <c r="D32" s="7" t="s">
        <v>51</v>
      </c>
      <c r="E32" s="7">
        <v>350</v>
      </c>
    </row>
    <row r="33" ht="16" customHeight="1" spans="1:5">
      <c r="A33" s="6" t="s">
        <v>68</v>
      </c>
      <c r="B33" s="6" t="s">
        <v>69</v>
      </c>
      <c r="C33" s="7" t="s">
        <v>50</v>
      </c>
      <c r="D33" s="7" t="s">
        <v>51</v>
      </c>
      <c r="E33" s="7">
        <v>280</v>
      </c>
    </row>
    <row r="34" ht="16" customHeight="1" spans="1:5">
      <c r="A34" s="6" t="s">
        <v>70</v>
      </c>
      <c r="B34" s="6" t="s">
        <v>71</v>
      </c>
      <c r="C34" s="7" t="s">
        <v>61</v>
      </c>
      <c r="D34" s="7" t="s">
        <v>51</v>
      </c>
      <c r="E34" s="7">
        <v>120</v>
      </c>
    </row>
    <row r="35" ht="16" customHeight="1" spans="1:5">
      <c r="A35" s="6" t="s">
        <v>72</v>
      </c>
      <c r="B35" s="6" t="s">
        <v>73</v>
      </c>
      <c r="C35" s="7" t="s">
        <v>50</v>
      </c>
      <c r="D35" s="7" t="s">
        <v>51</v>
      </c>
      <c r="E35" s="7">
        <v>250</v>
      </c>
    </row>
    <row r="36" ht="16" customHeight="1" spans="1:5">
      <c r="A36" s="6" t="s">
        <v>74</v>
      </c>
      <c r="B36" s="6" t="s">
        <v>75</v>
      </c>
      <c r="C36" s="7" t="s">
        <v>76</v>
      </c>
      <c r="D36" s="7" t="s">
        <v>51</v>
      </c>
      <c r="E36" s="7">
        <v>250</v>
      </c>
    </row>
    <row r="37" ht="18" customHeight="1" spans="1:5">
      <c r="A37" s="11" t="s">
        <v>77</v>
      </c>
      <c r="E37" s="10">
        <f>SUM(E25:E36)</f>
        <v>3280</v>
      </c>
    </row>
    <row r="38" ht="22" customHeight="1" spans="1:5">
      <c r="A38" s="3" t="s">
        <v>78</v>
      </c>
    </row>
    <row r="39" ht="15" spans="1:5">
      <c r="A39" s="4" t="s">
        <v>44</v>
      </c>
      <c r="B39" s="4" t="s">
        <v>79</v>
      </c>
      <c r="C39" s="4" t="s">
        <v>51</v>
      </c>
      <c r="D39" s="4" t="s">
        <v>51</v>
      </c>
      <c r="E39" s="5" t="s">
        <v>47</v>
      </c>
    </row>
    <row r="40" ht="16" customHeight="1" spans="1:5">
      <c r="A40" s="6" t="s">
        <v>80</v>
      </c>
      <c r="B40" s="6" t="s">
        <v>81</v>
      </c>
      <c r="C40" s="6"/>
      <c r="D40" s="6"/>
      <c r="E40" s="7">
        <v>100</v>
      </c>
    </row>
    <row r="41" ht="16" customHeight="1" spans="1:5">
      <c r="A41" s="6" t="s">
        <v>82</v>
      </c>
      <c r="B41" s="6" t="s">
        <v>83</v>
      </c>
      <c r="C41" s="6"/>
      <c r="D41" s="6"/>
      <c r="E41" s="7">
        <v>80</v>
      </c>
    </row>
    <row r="42" ht="16" customHeight="1" spans="1:5">
      <c r="A42" s="6" t="s">
        <v>84</v>
      </c>
      <c r="B42" s="6" t="s">
        <v>85</v>
      </c>
      <c r="C42" s="6"/>
      <c r="D42" s="6"/>
      <c r="E42" s="7">
        <v>50</v>
      </c>
    </row>
    <row r="43" ht="16" customHeight="1" spans="1:5">
      <c r="A43" s="6" t="s">
        <v>86</v>
      </c>
      <c r="B43" s="6" t="s">
        <v>87</v>
      </c>
      <c r="C43" s="6"/>
      <c r="D43" s="6"/>
      <c r="E43" s="7">
        <v>100</v>
      </c>
    </row>
    <row r="44" ht="18" customHeight="1" spans="1:5">
      <c r="A44" s="11" t="s">
        <v>88</v>
      </c>
      <c r="E44" s="10">
        <f>SUM(E40:E43)</f>
        <v>330</v>
      </c>
    </row>
    <row r="45" ht="6" customHeight="1"/>
    <row r="46" ht="24" customHeight="1" spans="1:5">
      <c r="A46" s="12" t="s">
        <v>89</v>
      </c>
      <c r="E46" s="13">
        <f>SUM(E22,E37,E44)</f>
        <v>6045</v>
      </c>
    </row>
    <row r="48" ht="16" customHeight="1" spans="1:5">
      <c r="A48" s="14" t="s">
        <v>90</v>
      </c>
    </row>
    <row r="49" ht="28" customHeight="1" spans="1:1">
      <c r="A49" s="15" t="s">
        <v>91</v>
      </c>
    </row>
    <row r="50" ht="28" customHeight="1" spans="1:1">
      <c r="A50" s="15" t="s">
        <v>92</v>
      </c>
    </row>
    <row r="51" ht="28" customHeight="1" spans="1:1">
      <c r="A51" s="15" t="s">
        <v>93</v>
      </c>
    </row>
    <row r="52" ht="28" customHeight="1" spans="1:1">
      <c r="A52" s="15" t="s">
        <v>94</v>
      </c>
    </row>
    <row r="53" ht="28" customHeight="1" spans="1:1">
      <c r="A53" s="15" t="s">
        <v>95</v>
      </c>
    </row>
  </sheetData>
  <mergeCells count="20">
    <mergeCell ref="A1:E1"/>
    <mergeCell ref="A2:E2"/>
    <mergeCell ref="A3:E3"/>
    <mergeCell ref="A22:D22"/>
    <mergeCell ref="A23:E23"/>
    <mergeCell ref="A37:D37"/>
    <mergeCell ref="A38:E38"/>
    <mergeCell ref="B40:D40"/>
    <mergeCell ref="B41:D41"/>
    <mergeCell ref="B42:D42"/>
    <mergeCell ref="B43:D43"/>
    <mergeCell ref="A44:D44"/>
    <mergeCell ref="A45:E45"/>
    <mergeCell ref="A46:D46"/>
    <mergeCell ref="A48:E48"/>
    <mergeCell ref="A49:E49"/>
    <mergeCell ref="A50:E50"/>
    <mergeCell ref="A51:E51"/>
    <mergeCell ref="A52:E52"/>
    <mergeCell ref="A53:E5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预算清单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WPS_1697782517</cp:lastModifiedBy>
  <dcterms:created xsi:type="dcterms:W3CDTF">2026-06-09T06:57:00Z</dcterms:created>
  <dcterms:modified xsi:type="dcterms:W3CDTF">2026-06-09T09:54:42Z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8F1E86C7555841EEB55F6FA6ACAFC4CE_12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